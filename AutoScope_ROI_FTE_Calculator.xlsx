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I_Calculator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<sst xmlns="http://schemas.openxmlformats.org/spreadsheetml/2006/main" count="22" uniqueCount="22">
  <si>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Process Name</t>
  </si>
  <si>
    <t>Department</t>
  </si>
  <si>
    <t>Volume per Day</t>
  </si>
  <si>
    <t>Working Days per Year</t>
  </si>
  <si>
    <t>Volume per Year</t>
  </si>
  <si>
    <t>Average Handling Time (mins)</t>
  </si>
  <si>
    <t>AHT (hours)</t>
  </si>
  <si>
    <t>Total Hours per Year</t>
  </si>
  <si>
    <t>FTE Hours per Year</t>
  </si>
  <si>
    <t>FTE Required (Current)</t>
  </si>
  <si>
    <t>% Automation Feasible</t>
  </si>
  <si>
    <t>Hours Saved per Year</t>
  </si>
  <si>
    <t>FTE Saved</t>
  </si>
  <si>
    <t>Hourly Cost per FTE</t>
  </si>
  <si>
    <t>Annual Cost Savings</t>
  </si>
  <si>
    <t>Est. Dev Cost (One-time)</t>
  </si>
  <si>
    <t>Est. License Cost (Annual)</t>
  </si>
  <si>
    <t>Est. Support Cost (Annual)</t>
  </si>
  <si>
    <t>Total Cost (Year 1)</t>
  </si>
  <si>
    <t>ROI (Year 1)</t>
  </si>
  <si>
    <t>Payback Period (Years)</t>
  </si>
  <si>
    <t>Instructions: Fill columns C, D, F, I, K, N, P, Q, R. Formulas will auto-calculate once you drag down from row 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</si>
</sst>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4" width="18.7109375" customWidth="1"/>
    <col min="5" max="5" width="16.7109375" customWidth="1"/>
    <col min="6" max="7" width="24.7109375" customWidth="1"/>
    <col min="8" max="14" width="20.7109375" customWidth="1"/>
    <col min="15" max="15" width="22.7109375" customWidth="1"/>
    <col min="16" max="19" width="24.7109375" customWidth="1"/>
    <col min="20" max="21" width="2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E2">
        <f>C2*D2</f>
        <v>0</v>
      </c>
      <c r="G2">
        <f>F2/60</f>
        <v>0</v>
      </c>
      <c r="H2">
        <f>E2*G2</f>
        <v>0</v>
      </c>
      <c r="I2">
        <v>1800</v>
      </c>
      <c r="J2">
        <f>H2/I2</f>
        <v>0</v>
      </c>
      <c r="K2">
        <v>0.7</v>
      </c>
      <c r="L2">
        <f>H2*K2</f>
        <v>0</v>
      </c>
      <c r="M2">
        <f>L2/I2</f>
        <v>0</v>
      </c>
      <c r="N2">
        <v>1500</v>
      </c>
      <c r="O2">
        <f>L2*N2</f>
        <v>0</v>
      </c>
      <c r="P2">
        <v>500000</v>
      </c>
      <c r="Q2">
        <v>300000</v>
      </c>
      <c r="R2">
        <v>200000</v>
      </c>
      <c r="S2">
        <f>P2+Q2+R2</f>
        <v>0</v>
      </c>
      <c r="T2">
        <f>(O2-S2)/S2</f>
        <v>0</v>
      </c>
      <c r="U2">
        <f>S2/O2</f>
        <v>0</v>
      </c>
    </row>
    <row r="3" spans="1:21">
      <c r="A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2025-11-25T05:45:27Z</dcterms:created>
  <dcterms:modified xsi:type="dcterms:W3CDTF">2025-11-25T05:45:27Z</dcterms:modified>
</cp:coreProperties>
</file>